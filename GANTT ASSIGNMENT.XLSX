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kunal\OneDrive\Desktop\gpav\"/>
    </mc:Choice>
  </mc:AlternateContent>
  <xr:revisionPtr revIDLastSave="0" documentId="8_{24B66545-F829-47B4-9A11-DF5E60E8EAE1}" xr6:coauthVersionLast="47" xr6:coauthVersionMax="47" xr10:uidLastSave="{00000000-0000-0000-0000-000000000000}"/>
  <bookViews>
    <workbookView xWindow="-110" yWindow="-110" windowWidth="19420" windowHeight="10300"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 i="11" l="1"/>
  <c r="P1" i="11"/>
  <c r="D9" i="11" l="1"/>
  <c r="D21" i="11" s="1"/>
  <c r="D27" i="11" s="1"/>
  <c r="D31" i="11" l="1"/>
  <c r="D30" i="11"/>
  <c r="E9" i="11"/>
  <c r="D10" i="11" s="1"/>
  <c r="H5" i="11"/>
  <c r="G33" i="11"/>
  <c r="G32" i="11"/>
  <c r="G26" i="11"/>
  <c r="G20" i="11"/>
  <c r="G14" i="11"/>
  <c r="G8" i="11"/>
  <c r="E21" i="11" l="1"/>
  <c r="D22" i="11" s="1"/>
  <c r="D23" i="11" s="1"/>
  <c r="D25" i="11" s="1"/>
  <c r="E27" i="11"/>
  <c r="D28" i="11" s="1"/>
  <c r="H6" i="11"/>
  <c r="E23" i="11" l="1"/>
  <c r="D24" i="11" s="1"/>
  <c r="E22" i="11"/>
  <c r="G22" i="11" s="1"/>
  <c r="E10" i="11"/>
  <c r="D11" i="11" s="1"/>
  <c r="E31" i="11"/>
  <c r="G31" i="11" s="1"/>
  <c r="E30" i="11"/>
  <c r="G30" i="11" s="1"/>
  <c r="G21" i="11"/>
  <c r="G9" i="11"/>
  <c r="E28" i="11"/>
  <c r="D29" i="11" s="1"/>
  <c r="G27" i="11"/>
  <c r="E25" i="11"/>
  <c r="G25" i="11" s="1"/>
  <c r="G10" i="11"/>
  <c r="I5" i="11"/>
  <c r="J5" i="11" s="1"/>
  <c r="K5" i="11" s="1"/>
  <c r="L5" i="11" s="1"/>
  <c r="M5" i="11" s="1"/>
  <c r="N5" i="11" s="1"/>
  <c r="O5" i="11" s="1"/>
  <c r="G4" i="11"/>
  <c r="G23" i="11" l="1"/>
  <c r="E11" i="11"/>
  <c r="D12" i="11" s="1"/>
  <c r="G28" i="11"/>
  <c r="E29" i="11"/>
  <c r="G29" i="11" s="1"/>
  <c r="E24" i="11"/>
  <c r="G24" i="11" s="1"/>
  <c r="N4" i="11"/>
  <c r="P5" i="11"/>
  <c r="Q5" i="11" s="1"/>
  <c r="R5" i="11" s="1"/>
  <c r="S5" i="11" s="1"/>
  <c r="T5" i="11" s="1"/>
  <c r="U5" i="11" s="1"/>
  <c r="V5" i="11" s="1"/>
  <c r="I6" i="11"/>
  <c r="G11" i="11" l="1"/>
  <c r="E12" i="11"/>
  <c r="D13" i="11" s="1"/>
  <c r="D15" i="11" s="1"/>
  <c r="D16" i="11" s="1"/>
  <c r="U4" i="11"/>
  <c r="W5" i="11"/>
  <c r="X5" i="11" s="1"/>
  <c r="Y5" i="11" s="1"/>
  <c r="Z5" i="11" s="1"/>
  <c r="AA5" i="11" s="1"/>
  <c r="AB5" i="11" s="1"/>
  <c r="AC5" i="11" s="1"/>
  <c r="J6" i="11"/>
  <c r="G12" i="11" l="1"/>
  <c r="AD5" i="11"/>
  <c r="AE5" i="11" s="1"/>
  <c r="AF5" i="11" s="1"/>
  <c r="AG5" i="11" s="1"/>
  <c r="AH5" i="11" s="1"/>
  <c r="AI5" i="11" s="1"/>
  <c r="AB4" i="11"/>
  <c r="K6" i="11"/>
  <c r="E13" i="11" l="1"/>
  <c r="G13" i="11" s="1"/>
  <c r="AJ5" i="11"/>
  <c r="AK5" i="11" s="1"/>
  <c r="AL5" i="11" s="1"/>
  <c r="AM5" i="11" s="1"/>
  <c r="AN5" i="11" s="1"/>
  <c r="AO5" i="11" s="1"/>
  <c r="AP5" i="11" s="1"/>
  <c r="L6" i="11"/>
  <c r="E15" i="11" l="1"/>
  <c r="G15" i="11" s="1"/>
  <c r="AQ5" i="11"/>
  <c r="AR5" i="11" s="1"/>
  <c r="AI4" i="11"/>
  <c r="M6" i="11"/>
  <c r="E16" i="11" l="1"/>
  <c r="D17" i="11" s="1"/>
  <c r="D18" i="11" s="1"/>
  <c r="D19" i="11" s="1"/>
  <c r="AS5" i="11"/>
  <c r="AR6" i="11"/>
  <c r="AP4" i="11"/>
  <c r="N6" i="11"/>
  <c r="G16" i="11" l="1"/>
  <c r="E17" i="11"/>
  <c r="G17" i="11" s="1"/>
  <c r="AT5" i="11"/>
  <c r="AS6" i="11"/>
  <c r="E18" i="11" l="1"/>
  <c r="G18" i="11" s="1"/>
  <c r="E19" i="11"/>
  <c r="G19" i="11" s="1"/>
  <c r="AU5" i="11"/>
  <c r="AT6" i="11"/>
  <c r="O6" i="11"/>
  <c r="P6" i="11"/>
  <c r="AV5" i="11" l="1"/>
  <c r="AU6" i="11"/>
  <c r="Q6" i="11"/>
  <c r="AW5" i="11" l="1"/>
  <c r="AX5" i="11" s="1"/>
  <c r="AV6" i="11"/>
  <c r="R6" i="11"/>
  <c r="AX6" i="11" l="1"/>
  <c r="AY5" i="11"/>
  <c r="AW4" i="11"/>
  <c r="AW6" i="11"/>
  <c r="S6" i="11"/>
  <c r="AZ5" i="11" l="1"/>
  <c r="AY6" i="11"/>
  <c r="T6" i="11"/>
  <c r="AZ6" i="11" l="1"/>
  <c r="BA5" i="11"/>
  <c r="U6" i="11"/>
  <c r="BA6" i="11" l="1"/>
  <c r="BB5" i="11"/>
  <c r="V6" i="11"/>
  <c r="BB6" i="11" l="1"/>
  <c r="BC5" i="11"/>
  <c r="W6" i="11"/>
  <c r="BD5" i="11" l="1"/>
  <c r="BC6" i="11"/>
  <c r="X6" i="11"/>
  <c r="BD6" i="11" l="1"/>
  <c r="BE5" i="11"/>
  <c r="Y6" i="11"/>
  <c r="BE6" i="11" l="1"/>
  <c r="BF5" i="11"/>
  <c r="BD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<sst xmlns="http://schemas.openxmlformats.org/spreadsheetml/2006/main" count="46" uniqueCount="46">
  <si>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</si>
  <si>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</si>
  <si>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</si>
  <si>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</si>
  <si>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</si>
  <si>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</si>
  <si>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</si>
  <si>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</si>
  <si>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</si>
  <si>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</si>
  <si>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</si>
  <si>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</si>
  <si>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</si>
  <si>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</si>
  <si>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</si>
  <si>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</si>
  <si>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</si>
  <si>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</si>
  <si>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</si>
  <si>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Initiation</t>
  </si>
  <si>
    <t>Planning and design</t>
  </si>
  <si>
    <t>Execution</t>
  </si>
  <si>
    <t>Project start:</t>
  </si>
  <si>
    <t>Display week:</t>
  </si>
  <si>
    <t>Evaluation</t>
  </si>
  <si>
    <t>Gantt project</t>
  </si>
  <si>
    <t>DEFINE PROJECT SCOPE</t>
  </si>
  <si>
    <t>GATHER REQUIREMENTS</t>
  </si>
  <si>
    <t>STAKEHOLDER APPROVAL</t>
  </si>
  <si>
    <t>PROJECT CHARTER</t>
  </si>
  <si>
    <t>TEAM SETUP</t>
  </si>
  <si>
    <t>CREATE PROJECT PLAN</t>
  </si>
  <si>
    <t>UI / UX DESIGN</t>
  </si>
  <si>
    <t>DEFINE MILESTONES</t>
  </si>
  <si>
    <t>RISK ANALYSIS</t>
  </si>
  <si>
    <t>BUDGET APPROVAL</t>
  </si>
  <si>
    <t>FRONTEND DEVELOPMENT</t>
  </si>
  <si>
    <t>BACKEND DEVELOPMENT</t>
  </si>
  <si>
    <t>DATABASE SETUP</t>
  </si>
  <si>
    <t>INTEGRATION</t>
  </si>
  <si>
    <t>TESTING</t>
  </si>
  <si>
    <t>GATHER FEEDBACKS</t>
  </si>
  <si>
    <t>DEPLOYMENT</t>
  </si>
  <si>
    <t>FINAL REVIEW</t>
  </si>
  <si>
    <t>BUG FIXING</t>
  </si>
  <si>
    <t>USER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</si>
</sst>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7"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3" tint="0.74999237037263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11" fillId="0" borderId="0" xfId="0" applyFont="1" applyAlignment="1">
      <alignment horizontal="center"/>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7" fillId="11" borderId="20" xfId="0" applyNumberFormat="1" applyFont="1" applyFill="1" applyBorder="1" applyAlignment="1">
      <alignment horizontal="center" vertical="center"/>
    </xf>
    <xf numFmtId="168" fontId="17" fillId="11" borderId="18" xfId="0" applyNumberFormat="1" applyFont="1" applyFill="1" applyBorder="1" applyAlignment="1">
      <alignment horizontal="center" vertical="center"/>
    </xf>
    <xf numFmtId="168" fontId="17" fillId="11"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4" fillId="0" borderId="3" xfId="0" applyFont="1" applyBorder="1" applyAlignment="1">
      <alignment vertical="center"/>
    </xf>
    <xf numFmtId="0" fontId="4" fillId="0" borderId="12"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9" fontId="1" fillId="3" borderId="6" xfId="2" applyFont="1" applyFill="1" applyBorder="1" applyAlignment="1">
      <alignment horizontal="center" vertical="center"/>
    </xf>
    <xf numFmtId="165" fontId="15" fillId="3" borderId="6" xfId="10" applyFont="1" applyFill="1" applyBorder="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9" fontId="1" fillId="3" borderId="7" xfId="2" applyFont="1" applyFill="1" applyBorder="1" applyAlignment="1">
      <alignment horizontal="center" vertical="center"/>
    </xf>
    <xf numFmtId="165" fontId="15" fillId="3" borderId="7" xfId="10" applyFont="1" applyFill="1" applyBorder="1">
      <alignment horizontal="center" vertical="center"/>
    </xf>
    <xf numFmtId="0" fontId="4" fillId="0" borderId="4" xfId="0" applyFont="1" applyBorder="1" applyAlignment="1">
      <alignment horizontal="right" vertical="center"/>
    </xf>
    <xf numFmtId="0" fontId="19" fillId="6" borderId="0" xfId="0" applyFont="1" applyFill="1" applyAlignment="1">
      <alignment horizontal="left" vertical="center" indent="1"/>
    </xf>
    <xf numFmtId="9" fontId="1" fillId="6" borderId="0" xfId="2" applyFont="1" applyFill="1" applyBorder="1" applyAlignment="1">
      <alignment horizontal="center" vertical="center"/>
    </xf>
    <xf numFmtId="165" fontId="15"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15" fillId="4" borderId="5" xfId="12" applyFont="1" applyFill="1" applyBorder="1">
      <alignment horizontal="left" vertical="center" indent="2"/>
    </xf>
    <xf numFmtId="9" fontId="1" fillId="4" borderId="5" xfId="2" applyFont="1" applyFill="1" applyBorder="1" applyAlignment="1">
      <alignment horizontal="center" vertical="center"/>
    </xf>
    <xf numFmtId="165" fontId="15" fillId="4" borderId="5" xfId="10" applyFont="1" applyFill="1" applyBorder="1">
      <alignment horizontal="center" vertical="center"/>
    </xf>
    <xf numFmtId="0" fontId="19" fillId="7" borderId="0" xfId="0" applyFont="1" applyFill="1" applyAlignment="1">
      <alignment horizontal="left" vertical="center" indent="1"/>
    </xf>
    <xf numFmtId="9" fontId="1" fillId="7" borderId="0" xfId="2" applyFont="1" applyFill="1" applyBorder="1" applyAlignment="1">
      <alignment horizontal="center" vertical="center"/>
    </xf>
    <xf numFmtId="165" fontId="15"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9" fontId="1" fillId="5" borderId="8" xfId="2" applyFont="1" applyFill="1" applyBorder="1" applyAlignment="1">
      <alignment horizontal="center" vertical="center"/>
    </xf>
    <xf numFmtId="165" fontId="15" fillId="5" borderId="8" xfId="10" applyFont="1" applyFill="1" applyBorder="1">
      <alignment horizontal="center" vertical="center"/>
    </xf>
    <xf numFmtId="0" fontId="19" fillId="8" borderId="0" xfId="0" applyFont="1" applyFill="1" applyAlignment="1">
      <alignment horizontal="left" vertical="center" indent="1"/>
    </xf>
    <xf numFmtId="9" fontId="1" fillId="8" borderId="0" xfId="2" applyFont="1" applyFill="1" applyBorder="1" applyAlignment="1">
      <alignment horizontal="center" vertical="center"/>
    </xf>
    <xf numFmtId="165" fontId="15"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0" xfId="0" applyFont="1" applyBorder="1" applyAlignment="1">
      <alignment vertical="center"/>
    </xf>
    <xf numFmtId="0" fontId="15" fillId="9" borderId="9" xfId="12" applyFont="1" applyFill="1" applyBorder="1">
      <alignment horizontal="left" vertical="center" indent="2"/>
    </xf>
    <xf numFmtId="9" fontId="1" fillId="9" borderId="9" xfId="2" applyFont="1" applyFill="1" applyBorder="1" applyAlignment="1">
      <alignment horizontal="center" vertical="center"/>
    </xf>
    <xf numFmtId="165" fontId="15" fillId="9" borderId="9" xfId="10" applyFont="1" applyFill="1" applyBorder="1">
      <alignment horizontal="center" vertical="center"/>
    </xf>
    <xf numFmtId="0" fontId="15" fillId="0" borderId="0" xfId="12" applyFont="1" applyBorder="1">
      <alignment horizontal="left" vertical="center" indent="2"/>
    </xf>
    <xf numFmtId="9" fontId="1" fillId="0" borderId="0" xfId="2" applyFont="1" applyBorder="1" applyAlignment="1">
      <alignment horizontal="center" vertical="center"/>
    </xf>
    <xf numFmtId="165" fontId="15" fillId="0" borderId="0" xfId="10" applyFont="1" applyBorder="1">
      <alignment horizontal="center" vertical="center"/>
    </xf>
    <xf numFmtId="9" fontId="1" fillId="2" borderId="0" xfId="2" applyFont="1" applyFill="1" applyBorder="1" applyAlignment="1">
      <alignment horizontal="center" vertical="center"/>
    </xf>
    <xf numFmtId="165" fontId="20"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1" fillId="0" borderId="0" xfId="6" applyFont="1" applyAlignment="1">
      <alignment horizontal="left" vertical="center" indent="1"/>
    </xf>
    <xf numFmtId="0" fontId="24"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1" fillId="0" borderId="0" xfId="0" applyFont="1" applyAlignment="1">
      <alignment horizontal="left" vertical="center" indent="1"/>
    </xf>
    <xf numFmtId="0" fontId="25" fillId="0" borderId="0" xfId="0" applyFont="1" applyAlignment="1">
      <alignment horizontal="left" vertical="top" wrapText="1" indent="1"/>
    </xf>
    <xf numFmtId="0" fontId="0" fillId="0" borderId="0" xfId="0" applyAlignment="1">
      <alignment horizontal="left" vertical="top" wrapText="1" indent="1"/>
    </xf>
    <xf numFmtId="0" fontId="26" fillId="0" borderId="0" xfId="1" applyFont="1" applyAlignment="1" applyProtection="1">
      <alignment horizontal="left" vertical="top" indent="1"/>
    </xf>
    <xf numFmtId="0" fontId="1" fillId="0" borderId="0" xfId="0" applyFont="1" applyAlignment="1">
      <alignment horizontal="left" vertical="top" indent="1"/>
    </xf>
    <xf numFmtId="0" fontId="11" fillId="0" borderId="0" xfId="3" applyAlignment="1">
      <alignment wrapText="1"/>
    </xf>
    <xf numFmtId="0" fontId="16" fillId="10" borderId="16" xfId="0" applyFont="1" applyFill="1" applyBorder="1" applyAlignment="1">
      <alignment horizontal="left" vertical="center" indent="1"/>
    </xf>
    <xf numFmtId="0" fontId="4" fillId="2" borderId="21" xfId="0" applyFont="1" applyFill="1" applyBorder="1" applyAlignment="1">
      <alignment horizontal="left" indent="1"/>
    </xf>
    <xf numFmtId="0" fontId="4" fillId="2" borderId="21" xfId="0" applyFont="1" applyFill="1" applyBorder="1"/>
    <xf numFmtId="0" fontId="16" fillId="10" borderId="16" xfId="0" applyFont="1" applyFill="1" applyBorder="1" applyAlignment="1">
      <alignment horizontal="center" vertical="center"/>
    </xf>
    <xf numFmtId="0" fontId="22" fillId="0" borderId="0" xfId="0" applyFont="1" applyAlignment="1">
      <alignment horizontal="left"/>
    </xf>
    <xf numFmtId="0" fontId="23" fillId="0" borderId="0" xfId="0" applyFont="1"/>
    <xf numFmtId="166" fontId="22" fillId="0" borderId="0" xfId="9" applyFont="1" applyBorder="1" applyAlignment="1">
      <alignment horizontal="left"/>
    </xf>
    <xf numFmtId="0" fontId="21" fillId="0" borderId="0" xfId="8" applyFont="1" applyAlignment="1">
      <alignment horizontal="left"/>
    </xf>
    <xf numFmtId="0" fontId="4" fillId="0" borderId="0" xfId="0" applyFont="1"/>
    <xf numFmtId="167" fontId="15" fillId="2" borderId="13" xfId="0" applyNumberFormat="1" applyFont="1" applyFill="1" applyBorder="1" applyAlignment="1">
      <alignment horizontal="center" vertical="center" wrapText="1"/>
    </xf>
    <xf numFmtId="167" fontId="15" fillId="2" borderId="19" xfId="0" applyNumberFormat="1" applyFont="1" applyFill="1" applyBorder="1" applyAlignment="1">
      <alignment horizontal="center" vertical="center" wrapText="1"/>
    </xf>
    <xf numFmtId="167" fontId="15" fillId="2" borderId="18" xfId="0" applyNumberFormat="1" applyFont="1" applyFill="1" applyBorder="1" applyAlignment="1">
      <alignment horizontal="center" vertical="center" wrapText="1"/>
    </xf>
    <xf numFmtId="0" fontId="19" fillId="12" borderId="0" xfId="0" applyFont="1" applyFill="1" applyAlignment="1">
      <alignment horizontal="left" vertical="center" indent="1"/>
    </xf>
    <xf numFmtId="9" fontId="1" fillId="12" borderId="0" xfId="2" applyFont="1" applyFill="1" applyBorder="1" applyAlignment="1">
      <alignment horizontal="center" vertical="center"/>
    </xf>
    <xf numFmtId="165" fontId="15" fillId="12" borderId="0" xfId="0" applyNumberFormat="1" applyFont="1" applyFill="1" applyAlignment="1">
      <alignment horizontal="center" vertical="center"/>
    </xf>
    <xf numFmtId="165" fontId="1" fillId="12" borderId="0" xfId="0" applyNumberFormat="1" applyFont="1" applyFill="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9">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8"/>
      <tableStyleElement type="headerRow" dxfId="17"/>
      <tableStyleElement type="totalRow" dxfId="16"/>
      <tableStyleElement type="firstColumn" dxfId="15"/>
      <tableStyleElement type="lastColumn" dxfId="14"/>
      <tableStyleElement type="firstRowStripe" dxfId="13"/>
      <tableStyleElement type="secondRowStripe" dxfId="12"/>
      <tableStyleElement type="firstColumnStripe" dxfId="11"/>
      <tableStyleElement type="secondColumn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35"/>
  <sheetViews>
    <sheetView showGridLines="0" tabSelected="1" showRuler="0" topLeftCell="A12" zoomScale="46" zoomScaleNormal="46" zoomScalePageLayoutView="70" workbookViewId="0">
      <selection activeCell="B25" sqref="B25"/>
    </sheetView>
  </sheetViews>
  <sheetFormatPr defaultColWidth="8.6640625" defaultRowHeight="30" customHeight="1" x14ac:dyDescent="0.3"/>
  <cols>
    <col min="1" max="1" width="2.6640625" style="12" customWidth="1"/>
    <col min="2" max="2" width="32.58203125" customWidth="1"/>
    <col min="3" max="3" width="13" customWidth="1"/>
    <col min="4" max="4" width="12.33203125" style="2" customWidth="1"/>
    <col min="5" max="5" width="18.6640625" customWidth="1"/>
    <col min="6" max="6" width="2.6640625" customWidth="1"/>
    <col min="7" max="7" width="6" hidden="1" customWidth="1"/>
    <col min="8" max="64" width="2.6640625" customWidth="1"/>
  </cols>
  <sheetData>
    <row r="1" spans="1:63" ht="90" customHeight="1" x14ac:dyDescent="1.7">
      <c r="A1" s="13"/>
      <c r="B1" s="76" t="s">
        <v>25</v>
      </c>
      <c r="C1" s="16"/>
      <c r="D1" s="17"/>
      <c r="E1" s="18"/>
      <c r="G1" s="1"/>
      <c r="H1" s="92" t="s">
        <v>22</v>
      </c>
      <c r="I1" s="93"/>
      <c r="J1" s="93"/>
      <c r="K1" s="93"/>
      <c r="L1" s="93"/>
      <c r="M1" s="93"/>
      <c r="N1" s="93"/>
      <c r="O1" s="21"/>
      <c r="P1" s="91">
        <f ca="1">TODAY()</f>
        <v>45894</v>
      </c>
      <c r="Q1" s="90"/>
      <c r="R1" s="90"/>
      <c r="S1" s="90"/>
      <c r="T1" s="90"/>
      <c r="U1" s="90"/>
      <c r="V1" s="90"/>
      <c r="W1" s="90"/>
      <c r="X1" s="90"/>
      <c r="Y1" s="90"/>
    </row>
    <row r="2" spans="1:63" ht="30" customHeight="1" x14ac:dyDescent="0.7">
      <c r="B2" s="75"/>
      <c r="C2" s="19"/>
      <c r="D2" s="20"/>
      <c r="E2" s="19"/>
      <c r="H2" s="92" t="s">
        <v>23</v>
      </c>
      <c r="I2" s="93"/>
      <c r="J2" s="93"/>
      <c r="K2" s="93"/>
      <c r="L2" s="93"/>
      <c r="M2" s="93"/>
      <c r="N2" s="93"/>
      <c r="O2" s="21"/>
      <c r="P2" s="89">
        <v>1</v>
      </c>
      <c r="Q2" s="90"/>
      <c r="R2" s="90"/>
      <c r="S2" s="90"/>
      <c r="T2" s="90"/>
      <c r="U2" s="90"/>
      <c r="V2" s="90"/>
      <c r="W2" s="90"/>
      <c r="X2" s="90"/>
      <c r="Y2" s="90"/>
    </row>
    <row r="3" spans="1:63" s="22" customFormat="1" ht="30" customHeight="1" x14ac:dyDescent="0.3">
      <c r="A3" s="12"/>
      <c r="B3" s="23"/>
      <c r="C3" s="24"/>
    </row>
    <row r="4" spans="1:63" s="22" customFormat="1" ht="30" customHeight="1" x14ac:dyDescent="0.3">
      <c r="A4" s="13"/>
      <c r="B4" s="25"/>
      <c r="C4" s="26"/>
      <c r="G4" s="96">
        <f ca="1">H5</f>
        <v>45894</v>
      </c>
      <c r="H4" s="94"/>
      <c r="I4" s="94"/>
      <c r="J4" s="94"/>
      <c r="K4" s="94"/>
      <c r="L4" s="94"/>
      <c r="M4" s="94"/>
      <c r="N4" s="94">
        <f ca="1">O5</f>
        <v>45901</v>
      </c>
      <c r="O4" s="94"/>
      <c r="P4" s="94"/>
      <c r="Q4" s="94"/>
      <c r="R4" s="94"/>
      <c r="S4" s="94"/>
      <c r="T4" s="94"/>
      <c r="U4" s="94">
        <f ca="1">V5</f>
        <v>45908</v>
      </c>
      <c r="V4" s="94"/>
      <c r="W4" s="94"/>
      <c r="X4" s="94"/>
      <c r="Y4" s="94"/>
      <c r="Z4" s="94"/>
      <c r="AA4" s="94"/>
      <c r="AB4" s="94">
        <f ca="1">AC5</f>
        <v>45915</v>
      </c>
      <c r="AC4" s="94"/>
      <c r="AD4" s="94"/>
      <c r="AE4" s="94"/>
      <c r="AF4" s="94"/>
      <c r="AG4" s="94"/>
      <c r="AH4" s="94"/>
      <c r="AI4" s="94">
        <f ca="1">AJ5</f>
        <v>45922</v>
      </c>
      <c r="AJ4" s="94"/>
      <c r="AK4" s="94"/>
      <c r="AL4" s="94"/>
      <c r="AM4" s="94"/>
      <c r="AN4" s="94"/>
      <c r="AO4" s="94"/>
      <c r="AP4" s="94">
        <f ca="1">AQ5</f>
        <v>45929</v>
      </c>
      <c r="AQ4" s="94"/>
      <c r="AR4" s="94"/>
      <c r="AS4" s="94"/>
      <c r="AT4" s="94"/>
      <c r="AU4" s="94"/>
      <c r="AV4" s="94"/>
      <c r="AW4" s="94">
        <f ca="1">AX5</f>
        <v>45936</v>
      </c>
      <c r="AX4" s="94"/>
      <c r="AY4" s="94"/>
      <c r="AZ4" s="94"/>
      <c r="BA4" s="94"/>
      <c r="BB4" s="94"/>
      <c r="BC4" s="94"/>
      <c r="BD4" s="94">
        <f ca="1">BE5</f>
        <v>45943</v>
      </c>
      <c r="BE4" s="94"/>
      <c r="BF4" s="94"/>
      <c r="BG4" s="94"/>
      <c r="BH4" s="94"/>
      <c r="BI4" s="94"/>
      <c r="BJ4" s="95"/>
    </row>
    <row r="5" spans="1:63" s="22" customFormat="1" ht="15" customHeight="1" x14ac:dyDescent="0.3">
      <c r="A5" s="84"/>
      <c r="B5" s="85" t="s">
        <v>4</v>
      </c>
      <c r="C5" s="88" t="s">
        <v>0</v>
      </c>
      <c r="D5" s="88" t="s">
        <v>2</v>
      </c>
      <c r="E5" s="88" t="s">
        <v>3</v>
      </c>
      <c r="H5" s="27">
        <f ca="1">Project_Start-WEEKDAY(Project_Start,1)+2+7*(Display_Week-1)</f>
        <v>45894</v>
      </c>
      <c r="I5" s="27">
        <f ca="1">H5+1</f>
        <v>45895</v>
      </c>
      <c r="J5" s="27">
        <f t="shared" ref="J5:AW5" ca="1" si="0">I5+1</f>
        <v>45896</v>
      </c>
      <c r="K5" s="27">
        <f t="shared" ca="1" si="0"/>
        <v>45897</v>
      </c>
      <c r="L5" s="27">
        <f t="shared" ca="1" si="0"/>
        <v>45898</v>
      </c>
      <c r="M5" s="27">
        <f t="shared" ca="1" si="0"/>
        <v>45899</v>
      </c>
      <c r="N5" s="28">
        <f t="shared" ca="1" si="0"/>
        <v>45900</v>
      </c>
      <c r="O5" s="29">
        <f ca="1">N5+1</f>
        <v>45901</v>
      </c>
      <c r="P5" s="27">
        <f ca="1">O5+1</f>
        <v>45902</v>
      </c>
      <c r="Q5" s="27">
        <f t="shared" ca="1" si="0"/>
        <v>45903</v>
      </c>
      <c r="R5" s="27">
        <f t="shared" ca="1" si="0"/>
        <v>45904</v>
      </c>
      <c r="S5" s="27">
        <f t="shared" ca="1" si="0"/>
        <v>45905</v>
      </c>
      <c r="T5" s="27">
        <f t="shared" ca="1" si="0"/>
        <v>45906</v>
      </c>
      <c r="U5" s="28">
        <f t="shared" ca="1" si="0"/>
        <v>45907</v>
      </c>
      <c r="V5" s="29">
        <f ca="1">U5+1</f>
        <v>45908</v>
      </c>
      <c r="W5" s="27">
        <f ca="1">V5+1</f>
        <v>45909</v>
      </c>
      <c r="X5" s="27">
        <f t="shared" ca="1" si="0"/>
        <v>45910</v>
      </c>
      <c r="Y5" s="27">
        <f t="shared" ca="1" si="0"/>
        <v>45911</v>
      </c>
      <c r="Z5" s="27">
        <f t="shared" ca="1" si="0"/>
        <v>45912</v>
      </c>
      <c r="AA5" s="27">
        <f t="shared" ca="1" si="0"/>
        <v>45913</v>
      </c>
      <c r="AB5" s="28">
        <f t="shared" ca="1" si="0"/>
        <v>45914</v>
      </c>
      <c r="AC5" s="29">
        <f ca="1">AB5+1</f>
        <v>45915</v>
      </c>
      <c r="AD5" s="27">
        <f ca="1">AC5+1</f>
        <v>45916</v>
      </c>
      <c r="AE5" s="27">
        <f t="shared" ca="1" si="0"/>
        <v>45917</v>
      </c>
      <c r="AF5" s="27">
        <f t="shared" ca="1" si="0"/>
        <v>45918</v>
      </c>
      <c r="AG5" s="27">
        <f t="shared" ca="1" si="0"/>
        <v>45919</v>
      </c>
      <c r="AH5" s="27">
        <f t="shared" ca="1" si="0"/>
        <v>45920</v>
      </c>
      <c r="AI5" s="28">
        <f t="shared" ca="1" si="0"/>
        <v>45921</v>
      </c>
      <c r="AJ5" s="29">
        <f ca="1">AI5+1</f>
        <v>45922</v>
      </c>
      <c r="AK5" s="27">
        <f ca="1">AJ5+1</f>
        <v>45923</v>
      </c>
      <c r="AL5" s="27">
        <f t="shared" ca="1" si="0"/>
        <v>45924</v>
      </c>
      <c r="AM5" s="27">
        <f t="shared" ca="1" si="0"/>
        <v>45925</v>
      </c>
      <c r="AN5" s="27">
        <f t="shared" ca="1" si="0"/>
        <v>45926</v>
      </c>
      <c r="AO5" s="27">
        <f t="shared" ca="1" si="0"/>
        <v>45927</v>
      </c>
      <c r="AP5" s="28">
        <f t="shared" ca="1" si="0"/>
        <v>45928</v>
      </c>
      <c r="AQ5" s="29">
        <f ca="1">AP5+1</f>
        <v>45929</v>
      </c>
      <c r="AR5" s="27">
        <f ca="1">AQ5+1</f>
        <v>45930</v>
      </c>
      <c r="AS5" s="27">
        <f t="shared" ca="1" si="0"/>
        <v>45931</v>
      </c>
      <c r="AT5" s="27">
        <f t="shared" ca="1" si="0"/>
        <v>45932</v>
      </c>
      <c r="AU5" s="27">
        <f t="shared" ca="1" si="0"/>
        <v>45933</v>
      </c>
      <c r="AV5" s="27">
        <f t="shared" ca="1" si="0"/>
        <v>45934</v>
      </c>
      <c r="AW5" s="28">
        <f t="shared" ca="1" si="0"/>
        <v>45935</v>
      </c>
      <c r="AX5" s="29">
        <f ca="1">AW5+1</f>
        <v>45936</v>
      </c>
      <c r="AY5" s="27">
        <f ca="1">AX5+1</f>
        <v>45937</v>
      </c>
      <c r="AZ5" s="27">
        <f t="shared" ref="AZ5:BD5" ca="1" si="1">AY5+1</f>
        <v>45938</v>
      </c>
      <c r="BA5" s="27">
        <f t="shared" ca="1" si="1"/>
        <v>45939</v>
      </c>
      <c r="BB5" s="27">
        <f t="shared" ca="1" si="1"/>
        <v>45940</v>
      </c>
      <c r="BC5" s="27">
        <f t="shared" ca="1" si="1"/>
        <v>45941</v>
      </c>
      <c r="BD5" s="28">
        <f t="shared" ca="1" si="1"/>
        <v>45942</v>
      </c>
      <c r="BE5" s="29">
        <f ca="1">BD5+1</f>
        <v>45943</v>
      </c>
      <c r="BF5" s="27">
        <f ca="1">BE5+1</f>
        <v>45944</v>
      </c>
      <c r="BG5" s="27">
        <f t="shared" ref="BG5:BK5" ca="1" si="2">BF5+1</f>
        <v>45945</v>
      </c>
      <c r="BH5" s="27">
        <f t="shared" ca="1" si="2"/>
        <v>45946</v>
      </c>
      <c r="BI5" s="27">
        <f t="shared" ca="1" si="2"/>
        <v>45947</v>
      </c>
      <c r="BJ5" s="27">
        <f t="shared" ca="1" si="2"/>
        <v>45948</v>
      </c>
      <c r="BK5" s="27">
        <f t="shared" ca="1" si="2"/>
        <v>45949</v>
      </c>
    </row>
    <row r="6" spans="1:63" s="22" customFormat="1" ht="15" customHeight="1" thickBot="1" x14ac:dyDescent="0.35">
      <c r="A6" s="84"/>
      <c r="B6" s="86"/>
      <c r="C6" s="87"/>
      <c r="D6" s="87"/>
      <c r="E6" s="87"/>
      <c r="H6" s="30" t="str">
        <f t="shared" ref="H6:AM6" ca="1" si="3">LEFT(TEXT(H5,"ddd"),1)</f>
        <v>M</v>
      </c>
      <c r="I6" s="31" t="str">
        <f t="shared" ca="1" si="3"/>
        <v>T</v>
      </c>
      <c r="J6" s="31" t="str">
        <f t="shared" ca="1" si="3"/>
        <v>W</v>
      </c>
      <c r="K6" s="31" t="str">
        <f t="shared" ca="1" si="3"/>
        <v>T</v>
      </c>
      <c r="L6" s="31" t="str">
        <f t="shared" ca="1" si="3"/>
        <v>F</v>
      </c>
      <c r="M6" s="31" t="str">
        <f t="shared" ca="1" si="3"/>
        <v>S</v>
      </c>
      <c r="N6" s="31" t="str">
        <f t="shared" ca="1" si="3"/>
        <v>S</v>
      </c>
      <c r="O6" s="31" t="str">
        <f t="shared" ca="1" si="3"/>
        <v>M</v>
      </c>
      <c r="P6" s="31" t="str">
        <f t="shared" ca="1" si="3"/>
        <v>T</v>
      </c>
      <c r="Q6" s="31" t="str">
        <f t="shared" ca="1" si="3"/>
        <v>W</v>
      </c>
      <c r="R6" s="31" t="str">
        <f t="shared" ca="1" si="3"/>
        <v>T</v>
      </c>
      <c r="S6" s="31" t="str">
        <f t="shared" ca="1" si="3"/>
        <v>F</v>
      </c>
      <c r="T6" s="31" t="str">
        <f t="shared" ca="1" si="3"/>
        <v>S</v>
      </c>
      <c r="U6" s="31" t="str">
        <f t="shared" ca="1" si="3"/>
        <v>S</v>
      </c>
      <c r="V6" s="31" t="str">
        <f t="shared" ca="1" si="3"/>
        <v>M</v>
      </c>
      <c r="W6" s="31" t="str">
        <f t="shared" ca="1" si="3"/>
        <v>T</v>
      </c>
      <c r="X6" s="31" t="str">
        <f t="shared" ca="1" si="3"/>
        <v>W</v>
      </c>
      <c r="Y6" s="31" t="str">
        <f t="shared" ca="1" si="3"/>
        <v>T</v>
      </c>
      <c r="Z6" s="31" t="str">
        <f t="shared" ca="1" si="3"/>
        <v>F</v>
      </c>
      <c r="AA6" s="31" t="str">
        <f t="shared" ca="1" si="3"/>
        <v>S</v>
      </c>
      <c r="AB6" s="31" t="str">
        <f t="shared" ca="1" si="3"/>
        <v>S</v>
      </c>
      <c r="AC6" s="31" t="str">
        <f t="shared" ca="1" si="3"/>
        <v>M</v>
      </c>
      <c r="AD6" s="31" t="str">
        <f t="shared" ca="1" si="3"/>
        <v>T</v>
      </c>
      <c r="AE6" s="31" t="str">
        <f t="shared" ca="1" si="3"/>
        <v>W</v>
      </c>
      <c r="AF6" s="31" t="str">
        <f t="shared" ca="1" si="3"/>
        <v>T</v>
      </c>
      <c r="AG6" s="31" t="str">
        <f t="shared" ca="1" si="3"/>
        <v>F</v>
      </c>
      <c r="AH6" s="31" t="str">
        <f t="shared" ca="1" si="3"/>
        <v>S</v>
      </c>
      <c r="AI6" s="31" t="str">
        <f t="shared" ca="1" si="3"/>
        <v>S</v>
      </c>
      <c r="AJ6" s="31" t="str">
        <f t="shared" ca="1" si="3"/>
        <v>M</v>
      </c>
      <c r="AK6" s="31" t="str">
        <f t="shared" ca="1" si="3"/>
        <v>T</v>
      </c>
      <c r="AL6" s="31" t="str">
        <f t="shared" ca="1" si="3"/>
        <v>W</v>
      </c>
      <c r="AM6" s="31" t="str">
        <f t="shared" ca="1" si="3"/>
        <v>T</v>
      </c>
      <c r="AN6" s="31" t="str">
        <f t="shared" ref="AN6:BK6" ca="1" si="4">LEFT(TEXT(AN5,"ddd"),1)</f>
        <v>F</v>
      </c>
      <c r="AO6" s="31" t="str">
        <f t="shared" ca="1" si="4"/>
        <v>S</v>
      </c>
      <c r="AP6" s="31" t="str">
        <f t="shared" ca="1" si="4"/>
        <v>S</v>
      </c>
      <c r="AQ6" s="31" t="str">
        <f t="shared" ca="1" si="4"/>
        <v>M</v>
      </c>
      <c r="AR6" s="31" t="str">
        <f t="shared" ca="1" si="4"/>
        <v>T</v>
      </c>
      <c r="AS6" s="31" t="str">
        <f t="shared" ca="1" si="4"/>
        <v>W</v>
      </c>
      <c r="AT6" s="31" t="str">
        <f t="shared" ca="1" si="4"/>
        <v>T</v>
      </c>
      <c r="AU6" s="31" t="str">
        <f t="shared" ca="1" si="4"/>
        <v>F</v>
      </c>
      <c r="AV6" s="31" t="str">
        <f t="shared" ca="1" si="4"/>
        <v>S</v>
      </c>
      <c r="AW6" s="31" t="str">
        <f t="shared" ca="1" si="4"/>
        <v>S</v>
      </c>
      <c r="AX6" s="31" t="str">
        <f t="shared" ca="1" si="4"/>
        <v>M</v>
      </c>
      <c r="AY6" s="31" t="str">
        <f t="shared" ca="1" si="4"/>
        <v>T</v>
      </c>
      <c r="AZ6" s="31" t="str">
        <f t="shared" ca="1" si="4"/>
        <v>W</v>
      </c>
      <c r="BA6" s="31" t="str">
        <f t="shared" ca="1" si="4"/>
        <v>T</v>
      </c>
      <c r="BB6" s="31" t="str">
        <f t="shared" ca="1" si="4"/>
        <v>F</v>
      </c>
      <c r="BC6" s="31" t="str">
        <f t="shared" ca="1" si="4"/>
        <v>S</v>
      </c>
      <c r="BD6" s="31" t="str">
        <f t="shared" ca="1" si="4"/>
        <v>S</v>
      </c>
      <c r="BE6" s="31" t="str">
        <f t="shared" ca="1" si="4"/>
        <v>M</v>
      </c>
      <c r="BF6" s="31" t="str">
        <f t="shared" ca="1" si="4"/>
        <v>T</v>
      </c>
      <c r="BG6" s="31" t="str">
        <f t="shared" ca="1" si="4"/>
        <v>W</v>
      </c>
      <c r="BH6" s="31" t="str">
        <f t="shared" ca="1" si="4"/>
        <v>T</v>
      </c>
      <c r="BI6" s="31" t="str">
        <f t="shared" ca="1" si="4"/>
        <v>F</v>
      </c>
      <c r="BJ6" s="31" t="str">
        <f t="shared" ca="1" si="4"/>
        <v>S</v>
      </c>
      <c r="BK6" s="32" t="str">
        <f t="shared" ca="1" si="4"/>
        <v>S</v>
      </c>
    </row>
    <row r="7" spans="1:63" s="22" customFormat="1" ht="30" hidden="1" customHeight="1" thickBot="1" x14ac:dyDescent="0.35">
      <c r="A7" s="12" t="s">
        <v>18</v>
      </c>
      <c r="B7" s="33"/>
      <c r="C7" s="33"/>
      <c r="D7" s="33"/>
      <c r="E7" s="33"/>
      <c r="G7" s="22" t="str">
        <f>IF(OR(ISBLANK(task_start),ISBLANK(task_end)),"",task_end-task_start+1)</f>
        <v/>
      </c>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row>
    <row r="8" spans="1:63" s="36" customFormat="1" ht="30" customHeight="1" thickBot="1" x14ac:dyDescent="0.35">
      <c r="A8" s="13"/>
      <c r="B8" s="97" t="s">
        <v>19</v>
      </c>
      <c r="C8" s="98"/>
      <c r="D8" s="99"/>
      <c r="E8" s="100"/>
      <c r="F8" s="15"/>
      <c r="G8" s="4" t="str">
        <f t="shared" ref="G8:G33" si="5">IF(OR(ISBLANK(task_start),ISBLANK(task_end)),"",task_end-task_start+1)</f>
        <v/>
      </c>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row>
    <row r="9" spans="1:63" s="36" customFormat="1" ht="30" customHeight="1" thickBot="1" x14ac:dyDescent="0.35">
      <c r="A9" s="13"/>
      <c r="B9" s="37" t="s">
        <v>26</v>
      </c>
      <c r="C9" s="38">
        <v>0.2</v>
      </c>
      <c r="D9" s="39">
        <f ca="1">Project_Start</f>
        <v>45894</v>
      </c>
      <c r="E9" s="39">
        <f ca="1">D9+5</f>
        <v>45899</v>
      </c>
      <c r="F9" s="15"/>
      <c r="G9" s="4">
        <f t="shared" ca="1" si="5"/>
        <v>6</v>
      </c>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row>
    <row r="10" spans="1:63" s="36" customFormat="1" ht="30" customHeight="1" thickBot="1" x14ac:dyDescent="0.35">
      <c r="A10" s="13"/>
      <c r="B10" s="41" t="s">
        <v>27</v>
      </c>
      <c r="C10" s="42">
        <v>0.4</v>
      </c>
      <c r="D10" s="43">
        <f ca="1">E9</f>
        <v>45899</v>
      </c>
      <c r="E10" s="43">
        <f ca="1">D10+3</f>
        <v>45902</v>
      </c>
      <c r="F10" s="15"/>
      <c r="G10" s="4">
        <f t="shared" ca="1" si="5"/>
        <v>4</v>
      </c>
      <c r="H10" s="40"/>
      <c r="I10" s="40"/>
      <c r="J10" s="40"/>
      <c r="K10" s="40"/>
      <c r="L10" s="40"/>
      <c r="M10" s="40"/>
      <c r="N10" s="40"/>
      <c r="O10" s="40"/>
      <c r="P10" s="40"/>
      <c r="Q10" s="40"/>
      <c r="R10" s="40"/>
      <c r="S10" s="40"/>
      <c r="T10" s="44"/>
      <c r="U10" s="44"/>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row>
    <row r="11" spans="1:63" s="36" customFormat="1" ht="30" customHeight="1" thickBot="1" x14ac:dyDescent="0.35">
      <c r="A11" s="12"/>
      <c r="B11" s="41" t="s">
        <v>28</v>
      </c>
      <c r="C11" s="42">
        <v>0.25</v>
      </c>
      <c r="D11" s="43">
        <f ca="1">E10</f>
        <v>45902</v>
      </c>
      <c r="E11" s="43">
        <f ca="1">D11+4</f>
        <v>45906</v>
      </c>
      <c r="F11" s="15"/>
      <c r="G11" s="4">
        <f t="shared" ca="1" si="5"/>
        <v>5</v>
      </c>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row>
    <row r="12" spans="1:63" s="36" customFormat="1" ht="30" customHeight="1" thickBot="1" x14ac:dyDescent="0.35">
      <c r="A12" s="12"/>
      <c r="B12" s="41" t="s">
        <v>29</v>
      </c>
      <c r="C12" s="42">
        <v>0.15</v>
      </c>
      <c r="D12" s="43">
        <f ca="1">E11</f>
        <v>45906</v>
      </c>
      <c r="E12" s="43">
        <f ca="1">D12+6</f>
        <v>45912</v>
      </c>
      <c r="F12" s="15"/>
      <c r="G12" s="4">
        <f t="shared" ca="1" si="5"/>
        <v>7</v>
      </c>
      <c r="H12" s="40"/>
      <c r="I12" s="40"/>
      <c r="J12" s="40"/>
      <c r="K12" s="40"/>
      <c r="L12" s="40"/>
      <c r="M12" s="40"/>
      <c r="N12" s="40"/>
      <c r="O12" s="40"/>
      <c r="P12" s="40"/>
      <c r="Q12" s="40"/>
      <c r="R12" s="40"/>
      <c r="S12" s="40"/>
      <c r="T12" s="40"/>
      <c r="U12" s="40"/>
      <c r="V12" s="40"/>
      <c r="W12" s="40"/>
      <c r="X12" s="44"/>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row>
    <row r="13" spans="1:63" s="36" customFormat="1" ht="30" customHeight="1" thickBot="1" x14ac:dyDescent="0.35">
      <c r="A13" s="12"/>
      <c r="B13" s="41" t="s">
        <v>30</v>
      </c>
      <c r="C13" s="42">
        <v>0.3</v>
      </c>
      <c r="D13" s="43">
        <f ca="1">E12</f>
        <v>45912</v>
      </c>
      <c r="E13" s="43">
        <f ca="1">D13+2</f>
        <v>45914</v>
      </c>
      <c r="F13" s="15"/>
      <c r="G13" s="4">
        <f t="shared" ca="1" si="5"/>
        <v>3</v>
      </c>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row>
    <row r="14" spans="1:63" s="36" customFormat="1" ht="30" customHeight="1" thickBot="1" x14ac:dyDescent="0.35">
      <c r="A14" s="13"/>
      <c r="B14" s="45" t="s">
        <v>20</v>
      </c>
      <c r="C14" s="46"/>
      <c r="D14" s="47"/>
      <c r="E14" s="48"/>
      <c r="F14" s="15"/>
      <c r="G14" s="4" t="str">
        <f t="shared" si="5"/>
        <v/>
      </c>
    </row>
    <row r="15" spans="1:63" s="36" customFormat="1" ht="30" customHeight="1" thickBot="1" x14ac:dyDescent="0.35">
      <c r="A15" s="13"/>
      <c r="B15" s="49" t="s">
        <v>31</v>
      </c>
      <c r="C15" s="50">
        <v>0.5</v>
      </c>
      <c r="D15" s="51">
        <f ca="1">D13+1</f>
        <v>45913</v>
      </c>
      <c r="E15" s="51">
        <f ca="1">D15+3</f>
        <v>45916</v>
      </c>
      <c r="F15" s="15"/>
      <c r="G15" s="4">
        <f t="shared" ca="1" si="5"/>
        <v>4</v>
      </c>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row>
    <row r="16" spans="1:63" s="36" customFormat="1" ht="30" customHeight="1" thickBot="1" x14ac:dyDescent="0.35">
      <c r="A16" s="12"/>
      <c r="B16" s="49" t="s">
        <v>32</v>
      </c>
      <c r="C16" s="50">
        <v>0.5</v>
      </c>
      <c r="D16" s="51">
        <f ca="1">D15+2</f>
        <v>45915</v>
      </c>
      <c r="E16" s="51">
        <f ca="1">D16+5</f>
        <v>45920</v>
      </c>
      <c r="F16" s="15"/>
      <c r="G16" s="4">
        <f t="shared" ca="1" si="5"/>
        <v>6</v>
      </c>
      <c r="H16" s="40"/>
      <c r="I16" s="40"/>
      <c r="J16" s="40"/>
      <c r="K16" s="40"/>
      <c r="L16" s="40"/>
      <c r="M16" s="40"/>
      <c r="N16" s="40"/>
      <c r="O16" s="40"/>
      <c r="P16" s="40"/>
      <c r="Q16" s="40"/>
      <c r="R16" s="40"/>
      <c r="S16" s="40"/>
      <c r="T16" s="44"/>
      <c r="U16" s="44"/>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row>
    <row r="17" spans="1:63" s="36" customFormat="1" ht="30" customHeight="1" thickBot="1" x14ac:dyDescent="0.35">
      <c r="A17" s="12"/>
      <c r="B17" s="49" t="s">
        <v>33</v>
      </c>
      <c r="C17" s="50"/>
      <c r="D17" s="51">
        <f ca="1">E16</f>
        <v>45920</v>
      </c>
      <c r="E17" s="51">
        <f ca="1">D17+3</f>
        <v>45923</v>
      </c>
      <c r="F17" s="15"/>
      <c r="G17" s="4">
        <f t="shared" ca="1" si="5"/>
        <v>4</v>
      </c>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row>
    <row r="18" spans="1:63" s="36" customFormat="1" ht="30" customHeight="1" thickBot="1" x14ac:dyDescent="0.35">
      <c r="A18" s="12"/>
      <c r="B18" s="49" t="s">
        <v>34</v>
      </c>
      <c r="C18" s="50"/>
      <c r="D18" s="51">
        <f ca="1">D17</f>
        <v>45920</v>
      </c>
      <c r="E18" s="51">
        <f ca="1">D18+2</f>
        <v>45922</v>
      </c>
      <c r="F18" s="15"/>
      <c r="G18" s="4">
        <f t="shared" ca="1" si="5"/>
        <v>3</v>
      </c>
      <c r="H18" s="40"/>
      <c r="I18" s="40"/>
      <c r="J18" s="40"/>
      <c r="K18" s="40"/>
      <c r="L18" s="40"/>
      <c r="M18" s="40"/>
      <c r="N18" s="40"/>
      <c r="O18" s="40"/>
      <c r="P18" s="40"/>
      <c r="Q18" s="40"/>
      <c r="R18" s="40"/>
      <c r="S18" s="40"/>
      <c r="T18" s="40"/>
      <c r="U18" s="40"/>
      <c r="V18" s="40"/>
      <c r="W18" s="40"/>
      <c r="X18" s="44"/>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row>
    <row r="19" spans="1:63" s="36" customFormat="1" ht="30" customHeight="1" thickBot="1" x14ac:dyDescent="0.35">
      <c r="A19" s="12"/>
      <c r="B19" s="49" t="s">
        <v>35</v>
      </c>
      <c r="C19" s="50"/>
      <c r="D19" s="51">
        <f ca="1">D18</f>
        <v>45920</v>
      </c>
      <c r="E19" s="51">
        <f ca="1">D19+3</f>
        <v>45923</v>
      </c>
      <c r="F19" s="15"/>
      <c r="G19" s="4">
        <f t="shared" ca="1" si="5"/>
        <v>4</v>
      </c>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row>
    <row r="20" spans="1:63" s="36" customFormat="1" ht="30" customHeight="1" thickBot="1" x14ac:dyDescent="0.35">
      <c r="A20" s="12"/>
      <c r="B20" s="52" t="s">
        <v>21</v>
      </c>
      <c r="C20" s="53"/>
      <c r="D20" s="54"/>
      <c r="E20" s="55"/>
      <c r="F20" s="15"/>
      <c r="G20" s="4" t="str">
        <f t="shared" si="5"/>
        <v/>
      </c>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row>
    <row r="21" spans="1:63" s="36" customFormat="1" ht="30" customHeight="1" thickBot="1" x14ac:dyDescent="0.35">
      <c r="A21" s="12"/>
      <c r="B21" s="57" t="s">
        <v>36</v>
      </c>
      <c r="C21" s="58">
        <v>0.35</v>
      </c>
      <c r="D21" s="59">
        <f ca="1">D9+15</f>
        <v>45909</v>
      </c>
      <c r="E21" s="59">
        <f ca="1">D21+5</f>
        <v>45914</v>
      </c>
      <c r="F21" s="15"/>
      <c r="G21" s="4">
        <f t="shared" ca="1" si="5"/>
        <v>6</v>
      </c>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row>
    <row r="22" spans="1:63" s="36" customFormat="1" ht="30" customHeight="1" thickBot="1" x14ac:dyDescent="0.35">
      <c r="A22" s="12"/>
      <c r="B22" s="57" t="s">
        <v>37</v>
      </c>
      <c r="C22" s="58">
        <v>0.3</v>
      </c>
      <c r="D22" s="59">
        <f ca="1">E21+1</f>
        <v>45915</v>
      </c>
      <c r="E22" s="59">
        <f ca="1">D22+4</f>
        <v>45919</v>
      </c>
      <c r="F22" s="15"/>
      <c r="G22" s="4">
        <f t="shared" ca="1" si="5"/>
        <v>5</v>
      </c>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row>
    <row r="23" spans="1:63" s="36" customFormat="1" ht="30" customHeight="1" thickBot="1" x14ac:dyDescent="0.35">
      <c r="A23" s="12"/>
      <c r="B23" s="57" t="s">
        <v>38</v>
      </c>
      <c r="C23" s="58">
        <v>0.2</v>
      </c>
      <c r="D23" s="59">
        <f ca="1">D22+5</f>
        <v>45920</v>
      </c>
      <c r="E23" s="59">
        <f ca="1">D23+5</f>
        <v>45925</v>
      </c>
      <c r="F23" s="15"/>
      <c r="G23" s="4">
        <f t="shared" ca="1" si="5"/>
        <v>6</v>
      </c>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row>
    <row r="24" spans="1:63" s="36" customFormat="1" ht="30" customHeight="1" thickBot="1" x14ac:dyDescent="0.35">
      <c r="A24" s="12"/>
      <c r="B24" s="57" t="s">
        <v>39</v>
      </c>
      <c r="C24" s="58">
        <v>0.25</v>
      </c>
      <c r="D24" s="59">
        <f ca="1">E23+1</f>
        <v>45926</v>
      </c>
      <c r="E24" s="59">
        <f ca="1">D24+4</f>
        <v>45930</v>
      </c>
      <c r="F24" s="15"/>
      <c r="G24" s="4">
        <f t="shared" ca="1" si="5"/>
        <v>5</v>
      </c>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row>
    <row r="25" spans="1:63" s="36" customFormat="1" ht="30" customHeight="1" thickBot="1" x14ac:dyDescent="0.35">
      <c r="A25" s="12"/>
      <c r="B25" s="57" t="s">
        <v>40</v>
      </c>
      <c r="C25" s="58">
        <v>0.15</v>
      </c>
      <c r="D25" s="59">
        <f ca="1">D23</f>
        <v>45920</v>
      </c>
      <c r="E25" s="59">
        <f ca="1">D25+4</f>
        <v>45924</v>
      </c>
      <c r="F25" s="15"/>
      <c r="G25" s="4">
        <f t="shared" ca="1" si="5"/>
        <v>5</v>
      </c>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row>
    <row r="26" spans="1:63" s="36" customFormat="1" ht="30" customHeight="1" thickBot="1" x14ac:dyDescent="0.35">
      <c r="A26" s="12"/>
      <c r="B26" s="60" t="s">
        <v>24</v>
      </c>
      <c r="C26" s="61"/>
      <c r="D26" s="62"/>
      <c r="E26" s="63"/>
      <c r="F26" s="15"/>
      <c r="G26" s="4" t="str">
        <f t="shared" si="5"/>
        <v/>
      </c>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row>
    <row r="27" spans="1:63" s="36" customFormat="1" ht="30" customHeight="1" thickBot="1" x14ac:dyDescent="0.35">
      <c r="A27" s="12"/>
      <c r="B27" s="65" t="s">
        <v>45</v>
      </c>
      <c r="C27" s="66">
        <v>0.2</v>
      </c>
      <c r="D27" s="67">
        <f ca="1">D21+2</f>
        <v>45911</v>
      </c>
      <c r="E27" s="67">
        <f ca="1">D27+3</f>
        <v>45914</v>
      </c>
      <c r="F27" s="15"/>
      <c r="G27" s="4">
        <f t="shared" ca="1" si="5"/>
        <v>4</v>
      </c>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row>
    <row r="28" spans="1:63" s="36" customFormat="1" ht="30" customHeight="1" thickBot="1" x14ac:dyDescent="0.35">
      <c r="A28" s="12"/>
      <c r="B28" s="65" t="s">
        <v>44</v>
      </c>
      <c r="C28" s="66">
        <v>0.25</v>
      </c>
      <c r="D28" s="67">
        <f ca="1">E27</f>
        <v>45914</v>
      </c>
      <c r="E28" s="67">
        <f ca="1">D28+4</f>
        <v>45918</v>
      </c>
      <c r="F28" s="15"/>
      <c r="G28" s="4">
        <f t="shared" ca="1" si="5"/>
        <v>5</v>
      </c>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row>
    <row r="29" spans="1:63" s="36" customFormat="1" ht="30" customHeight="1" thickBot="1" x14ac:dyDescent="0.35">
      <c r="A29" s="12"/>
      <c r="B29" s="65" t="s">
        <v>43</v>
      </c>
      <c r="C29" s="66">
        <v>0.15</v>
      </c>
      <c r="D29" s="67">
        <f ca="1">E28+1</f>
        <v>45919</v>
      </c>
      <c r="E29" s="67">
        <f ca="1">D29+3</f>
        <v>45922</v>
      </c>
      <c r="F29" s="15"/>
      <c r="G29" s="4">
        <f t="shared" ca="1" si="5"/>
        <v>4</v>
      </c>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row>
    <row r="30" spans="1:63" s="36" customFormat="1" ht="30" customHeight="1" thickBot="1" x14ac:dyDescent="0.35">
      <c r="A30" s="12"/>
      <c r="B30" s="65" t="s">
        <v>42</v>
      </c>
      <c r="C30" s="66">
        <v>0.1</v>
      </c>
      <c r="D30" s="67">
        <f ca="1">D27+5</f>
        <v>45916</v>
      </c>
      <c r="E30" s="67">
        <f ca="1">D30+3</f>
        <v>45919</v>
      </c>
      <c r="F30" s="15"/>
      <c r="G30" s="4">
        <f t="shared" ca="1" si="5"/>
        <v>4</v>
      </c>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row>
    <row r="31" spans="1:63" s="36" customFormat="1" ht="30" customHeight="1" thickBot="1" x14ac:dyDescent="0.35">
      <c r="A31" s="12"/>
      <c r="B31" s="65" t="s">
        <v>41</v>
      </c>
      <c r="C31" s="66">
        <v>0.5</v>
      </c>
      <c r="D31" s="67">
        <f ca="1">D27+7</f>
        <v>45918</v>
      </c>
      <c r="E31" s="67">
        <f ca="1">D31+5</f>
        <v>45923</v>
      </c>
      <c r="F31" s="15"/>
      <c r="G31" s="4">
        <f t="shared" ca="1" si="5"/>
        <v>6</v>
      </c>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row>
    <row r="32" spans="1:63" s="36" customFormat="1" ht="30" customHeight="1" thickBot="1" x14ac:dyDescent="0.35">
      <c r="A32" s="12"/>
      <c r="B32" s="68"/>
      <c r="C32" s="69"/>
      <c r="D32" s="70"/>
      <c r="E32" s="70"/>
      <c r="F32" s="15"/>
      <c r="G32" s="4" t="str">
        <f t="shared" si="5"/>
        <v/>
      </c>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row>
    <row r="33" spans="1:63" s="36" customFormat="1" ht="30" customHeight="1" thickBot="1" x14ac:dyDescent="0.35">
      <c r="A33" s="13"/>
      <c r="B33" s="72"/>
      <c r="C33" s="71"/>
      <c r="E33" s="73"/>
      <c r="F33" s="15"/>
      <c r="G33" s="5" t="str">
        <f t="shared" si="5"/>
        <v/>
      </c>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row>
    <row r="34" spans="1:63" ht="30" customHeight="1" x14ac:dyDescent="0.3">
      <c r="F34" s="3"/>
    </row>
    <row r="35" spans="1:63" ht="30" customHeight="1" x14ac:dyDescent="0.3">
      <c r="E35" s="14"/>
    </row>
  </sheetData>
  <mergeCells count="17">
    <mergeCell ref="BD4:BJ4"/>
    <mergeCell ref="G4:M4"/>
    <mergeCell ref="N4:T4"/>
    <mergeCell ref="U4:AA4"/>
    <mergeCell ref="AB4:AH4"/>
    <mergeCell ref="AI4:AO4"/>
    <mergeCell ref="AP4:AV4"/>
    <mergeCell ref="AW4:BC4"/>
    <mergeCell ref="E5:E6"/>
    <mergeCell ref="P2:Y2"/>
    <mergeCell ref="P1:Y1"/>
    <mergeCell ref="H1:N1"/>
    <mergeCell ref="H2:N2"/>
    <mergeCell ref="A5:A6"/>
    <mergeCell ref="B5:B6"/>
    <mergeCell ref="C5:C6"/>
    <mergeCell ref="D5:D6"/>
  </mergeCells>
  <conditionalFormatting sqref="C7:C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5:BK31">
    <cfRule type="expression" dxfId="9" priority="1">
      <formula>AND(TODAY()&gt;=H$5, TODAY()&lt;I$5)</formula>
    </cfRule>
  </conditionalFormatting>
  <conditionalFormatting sqref="H9:BK13">
    <cfRule type="expression" dxfId="8" priority="6">
      <formula>AND(task_start&lt;=H$5,ROUNDDOWN((task_end-task_start+1)*task_progress,0)+task_start-1&gt;=H$5)</formula>
    </cfRule>
    <cfRule type="expression" dxfId="7" priority="7" stopIfTrue="1">
      <formula>AND(task_end&gt;=H$5,task_start&lt;I$5)</formula>
    </cfRule>
  </conditionalFormatting>
  <conditionalFormatting sqref="H15:BK19">
    <cfRule type="expression" dxfId="6" priority="4">
      <formula>AND(task_start&lt;=H$5,ROUNDDOWN((task_end-task_start+1)*task_progress,0)+task_start-1&gt;=H$5)</formula>
    </cfRule>
    <cfRule type="expression" dxfId="5" priority="5" stopIfTrue="1">
      <formula>AND(task_end&gt;=H$5,task_start&lt;I$5)</formula>
    </cfRule>
  </conditionalFormatting>
  <conditionalFormatting sqref="H21:BK25">
    <cfRule type="expression" dxfId="4" priority="2">
      <formula>AND(task_start&lt;=H$5,ROUNDDOWN((task_end-task_start+1)*task_progress,0)+task_start-1&gt;=H$5)</formula>
    </cfRule>
    <cfRule type="expression" dxfId="3" priority="3" stopIfTrue="1">
      <formula>AND(task_end&gt;=H$5,task_start&lt;I$5)</formula>
    </cfRule>
  </conditionalFormatting>
  <conditionalFormatting sqref="H27:BK31">
    <cfRule type="expression" dxfId="2" priority="36">
      <formula>AND(task_start&lt;=H$5,ROUNDDOWN((task_end-task_start+1)*task_progress,0)+task_start-1&gt;=H$5)</formula>
    </cfRule>
    <cfRule type="expression" dxfId="1" priority="37" stopIfTrue="1">
      <formula>AND(task_end&gt;=H$5,task_start&lt;I$5)</formula>
    </cfRule>
  </conditionalFormatting>
  <conditionalFormatting sqref="G4:BJ4">
    <cfRule type="expression" dxfId="0" priority="39">
      <formula>AND(TODAY()&gt;=H$5, TODAY()&lt;I$5)</formula>
    </cfRule>
  </conditionalFormatting>
  <dataValidations count="13">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E18 E22:E23 D23 E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6" customWidth="1"/>
    <col min="2" max="16384" width="9" style="1"/>
  </cols>
  <sheetData>
    <row r="1" spans="1:2" ht="46.5" customHeight="1" x14ac:dyDescent="0.25"/>
    <row r="2" spans="1:2" s="8" customFormat="1" ht="15.5" x14ac:dyDescent="0.3">
      <c r="A2" s="77" t="s">
        <v>7</v>
      </c>
      <c r="B2" s="7"/>
    </row>
    <row r="3" spans="1:2" s="10" customFormat="1" ht="27" customHeight="1" x14ac:dyDescent="0.3">
      <c r="A3" s="78"/>
      <c r="B3" s="11"/>
    </row>
    <row r="4" spans="1:2" s="9" customFormat="1" ht="30.5" x14ac:dyDescent="0.85">
      <c r="A4" s="79" t="s">
        <v>6</v>
      </c>
    </row>
    <row r="5" spans="1:2" ht="74.25" customHeight="1" x14ac:dyDescent="0.25">
      <c r="A5" s="80" t="s">
        <v>14</v>
      </c>
    </row>
    <row r="6" spans="1:2" ht="26.25" customHeight="1" x14ac:dyDescent="0.25">
      <c r="A6" s="79" t="s">
        <v>17</v>
      </c>
    </row>
    <row r="7" spans="1:2" s="6" customFormat="1" ht="205" customHeight="1" x14ac:dyDescent="0.3">
      <c r="A7" s="81" t="s">
        <v>16</v>
      </c>
    </row>
    <row r="8" spans="1:2" s="9" customFormat="1" ht="30.5" x14ac:dyDescent="0.85">
      <c r="A8" s="79" t="s">
        <v>8</v>
      </c>
    </row>
    <row r="9" spans="1:2" ht="42" x14ac:dyDescent="0.25">
      <c r="A9" s="80" t="s">
        <v>15</v>
      </c>
    </row>
    <row r="10" spans="1:2" s="6" customFormat="1" ht="28" customHeight="1" x14ac:dyDescent="0.3">
      <c r="A10" s="82" t="s">
        <v>13</v>
      </c>
    </row>
    <row r="11" spans="1:2" s="9" customFormat="1" ht="30.5" x14ac:dyDescent="0.85">
      <c r="A11" s="79" t="s">
        <v>5</v>
      </c>
    </row>
    <row r="12" spans="1:2" ht="28" x14ac:dyDescent="0.25">
      <c r="A12" s="80" t="s">
        <v>12</v>
      </c>
    </row>
    <row r="13" spans="1:2" s="6" customFormat="1" ht="28" customHeight="1" x14ac:dyDescent="0.3">
      <c r="A13" s="82" t="s">
        <v>1</v>
      </c>
    </row>
    <row r="14" spans="1:2" s="9" customFormat="1" ht="30.5" x14ac:dyDescent="0.85">
      <c r="A14" s="79" t="s">
        <v>9</v>
      </c>
    </row>
    <row r="15" spans="1:2" ht="75" customHeight="1" x14ac:dyDescent="0.25">
      <c r="A15" s="80" t="s">
        <v>10</v>
      </c>
    </row>
    <row r="16" spans="1:2" ht="70" x14ac:dyDescent="0.25">
      <c r="A16" s="80" t="s">
        <v>11</v>
      </c>
    </row>
    <row r="17" spans="1:1" x14ac:dyDescent="0.25">
      <c r="A17" s="83"/>
    </row>
    <row r="18" spans="1:1" x14ac:dyDescent="0.25">
      <c r="A18" s="83"/>
    </row>
    <row r="19" spans="1:1" x14ac:dyDescent="0.25">
      <c r="A19" s="83"/>
    </row>
    <row r="20" spans="1:1" x14ac:dyDescent="0.25">
      <c r="A20" s="83"/>
    </row>
    <row r="21" spans="1:1" x14ac:dyDescent="0.25">
      <c r="A21" s="83"/>
    </row>
    <row r="22" spans="1:1" x14ac:dyDescent="0.25">
      <c r="A22" s="83"/>
    </row>
    <row r="23" spans="1:1" x14ac:dyDescent="0.25">
      <c r="A23" s="83"/>
    </row>
    <row r="24" spans="1:1" x14ac:dyDescent="0.25">
      <c r="A24" s="83"/>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Kunal Mahto</dc:creator>
  <dc:description/>
  <cp:lastModifiedBy>Kunal Mahto</cp:lastModifiedBy>
  <dcterms:created xsi:type="dcterms:W3CDTF">2022-03-11T22:41:12Z</dcterms:created>
  <dcterms:modified xsi:type="dcterms:W3CDTF">2025-08-25T14:42:08Z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